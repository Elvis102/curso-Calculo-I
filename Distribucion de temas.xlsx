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vissanchez/Documents/Github/curso-Calculo-I/"/>
    </mc:Choice>
  </mc:AlternateContent>
  <xr:revisionPtr revIDLastSave="0" documentId="13_ncr:1_{33677FA3-0891-7745-8D3D-FD154550A03A}" xr6:coauthVersionLast="37" xr6:coauthVersionMax="47" xr10:uidLastSave="{00000000-0000-0000-0000-000000000000}"/>
  <bookViews>
    <workbookView xWindow="2620" yWindow="1160" windowWidth="21020" windowHeight="12260" activeTab="2" xr2:uid="{686DAF36-CF16-41D0-8487-10B5D2117CA8}"/>
  </bookViews>
  <sheets>
    <sheet name="Hoja1" sheetId="1" r:id="rId1"/>
    <sheet name="Hoja2" sheetId="2" r:id="rId2"/>
    <sheet name="Hoja3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2" l="1"/>
  <c r="N8" i="2"/>
  <c r="I22" i="1"/>
  <c r="H30" i="1"/>
  <c r="G32" i="1"/>
  <c r="G20" i="1"/>
  <c r="H21" i="1"/>
  <c r="D11" i="1"/>
  <c r="C11" i="1"/>
  <c r="E34" i="1"/>
  <c r="E30" i="1"/>
  <c r="E25" i="1"/>
  <c r="E19" i="1"/>
  <c r="E14" i="1"/>
  <c r="E8" i="1"/>
  <c r="J12" i="1"/>
  <c r="K12" i="1" s="1"/>
  <c r="C73" i="1"/>
  <c r="C68" i="1"/>
  <c r="C62" i="1"/>
  <c r="C55" i="1"/>
  <c r="C49" i="1"/>
  <c r="C43" i="1"/>
  <c r="D43" i="1" s="1"/>
</calcChain>
</file>

<file path=xl/sharedStrings.xml><?xml version="1.0" encoding="utf-8"?>
<sst xmlns="http://schemas.openxmlformats.org/spreadsheetml/2006/main" count="114" uniqueCount="100">
  <si>
    <t>Función real de variable real</t>
  </si>
  <si>
    <t>Función real de variable real - EJERCICIOS</t>
  </si>
  <si>
    <t>Utilidad de la función real de variable real</t>
  </si>
  <si>
    <t>Gráfica de una función</t>
  </si>
  <si>
    <t xml:space="preserve">Otras notaciones de funciones </t>
  </si>
  <si>
    <t>Funciones uniformes</t>
  </si>
  <si>
    <t xml:space="preserve">Operaciones con funciones </t>
  </si>
  <si>
    <t>Las rectas</t>
  </si>
  <si>
    <t xml:space="preserve">Recta que pasa por 2 puntos </t>
  </si>
  <si>
    <t>EJEMPLO 3 PARA EXAMEN</t>
  </si>
  <si>
    <t xml:space="preserve">Recta que pasa por un punto conocido </t>
  </si>
  <si>
    <t xml:space="preserve">Recta con otras notaciones </t>
  </si>
  <si>
    <t xml:space="preserve">Paralelismo y perpendicularidad de las rectas </t>
  </si>
  <si>
    <t xml:space="preserve">La parabola </t>
  </si>
  <si>
    <t>La parabola EJEMPLOS</t>
  </si>
  <si>
    <t xml:space="preserve">Funcion valor absoluto </t>
  </si>
  <si>
    <t>Funcion valor absoluto - EJEMPLOS</t>
  </si>
  <si>
    <t>Funcion a trozos</t>
  </si>
  <si>
    <t xml:space="preserve">Dominio de definición de una funcion </t>
  </si>
  <si>
    <t xml:space="preserve">Funciones algebraicas </t>
  </si>
  <si>
    <t>Funciones potenciales</t>
  </si>
  <si>
    <t>Funciones exponenciales</t>
  </si>
  <si>
    <t xml:space="preserve">Funciones logaritmicas </t>
  </si>
  <si>
    <t>Funciones trigonométricas</t>
  </si>
  <si>
    <t xml:space="preserve">Simetría de funciones </t>
  </si>
  <si>
    <t xml:space="preserve">Simetria de funciones - EJEMPLOS </t>
  </si>
  <si>
    <t xml:space="preserve">Composición de funciones </t>
  </si>
  <si>
    <t>Composición de funciones - EJEMPLOS</t>
  </si>
  <si>
    <t>Numeros reales</t>
  </si>
  <si>
    <t>Recta real ampliada</t>
  </si>
  <si>
    <t>Valor absoluto de un numero real</t>
  </si>
  <si>
    <t>Aplicaciones del valor absoluto</t>
  </si>
  <si>
    <t>Ejemplo de distancia y valor absoluto</t>
  </si>
  <si>
    <t>Entorno de un punto en la recta real</t>
  </si>
  <si>
    <t>Propiedades de los números reales</t>
  </si>
  <si>
    <t xml:space="preserve">Correspondencia entre conjuntos - PARTE 1 </t>
  </si>
  <si>
    <t>Correspondencia entre conjuntos - PARTE 2</t>
  </si>
  <si>
    <t>Correspondencia entre conjuntos - PARTE 1</t>
  </si>
  <si>
    <t>Relaciones entre conjuntos y origen de las funciones</t>
  </si>
  <si>
    <t>Visualización y estructura de las funciones</t>
  </si>
  <si>
    <t>Dominio de definición de una función</t>
  </si>
  <si>
    <t>Simetría de funciones</t>
  </si>
  <si>
    <t>Simetría de funciones - EJEMPLOS</t>
  </si>
  <si>
    <t>Transformaciones y combinaciones funcionales</t>
  </si>
  <si>
    <t>Operaciones con funciones</t>
  </si>
  <si>
    <t>Composición de funciones</t>
  </si>
  <si>
    <t>Función a trozos</t>
  </si>
  <si>
    <t>Funciones algebraicas y especiales</t>
  </si>
  <si>
    <t>Funciones algebraicas</t>
  </si>
  <si>
    <t>Funcion valor absoluto</t>
  </si>
  <si>
    <t>Funciones logarítmicas</t>
  </si>
  <si>
    <t>Rectas en el plano cartesiano</t>
  </si>
  <si>
    <t>Recta que pasa por 2 puntos</t>
  </si>
  <si>
    <t>Recta que pasa por un punto conocido</t>
  </si>
  <si>
    <t>Recta con otras notaciones</t>
  </si>
  <si>
    <t>Paralelismo y perpendicularidad de las rectas</t>
  </si>
  <si>
    <t>Estudio gráfico de la parábola</t>
  </si>
  <si>
    <t>La parábola</t>
  </si>
  <si>
    <t>Ejemplos</t>
  </si>
  <si>
    <t>UNIDAD 1</t>
  </si>
  <si>
    <t>UNIDAD 2</t>
  </si>
  <si>
    <t>UNIDAD 3</t>
  </si>
  <si>
    <t>LA DERIVADA</t>
  </si>
  <si>
    <t>UNIDAD 4</t>
  </si>
  <si>
    <t>APLICACIONES DE LA DERIVADA</t>
  </si>
  <si>
    <t>Semana 2</t>
  </si>
  <si>
    <t>Semana 3</t>
  </si>
  <si>
    <t>Semana 1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</si>
  <si>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</si>
  <si>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</si>
  <si>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</si>
  <si>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</si>
  <si>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</si>
  <si>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</si>
  <si>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</si>
  <si>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</si>
  <si>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Aplicaciones de las reglas de derivación a funciones</t>
  </si>
  <si>
    <t>Semana 12</t>
  </si>
  <si>
    <t>Semana 13</t>
  </si>
  <si>
    <t>Semana 14</t>
  </si>
  <si>
    <t>Semana 15</t>
  </si>
  <si>
    <t>Semana 16</t>
  </si>
  <si>
    <t>EXAMENES</t>
  </si>
  <si>
    <t>Diferenciabilidad de orden superior</t>
  </si>
  <si>
    <t>Numeros reales, y conceptos basicos</t>
  </si>
  <si>
    <t>Relaciones y funciones</t>
  </si>
  <si>
    <t xml:space="preserve">LIMITE  Y CONTINUIDAD DE FUNCIONES </t>
  </si>
  <si>
    <t>REVISION DE REQUISITOS</t>
  </si>
  <si>
    <t>Continuidad de funciones</t>
  </si>
  <si>
    <t>Funciones continuas en un intervalo</t>
  </si>
  <si>
    <t>Funciones acotadas</t>
  </si>
  <si>
    <t>Calculo de limites</t>
  </si>
  <si>
    <t>La definicion de la derivada en un punto</t>
  </si>
  <si>
    <t xml:space="preserve">Aplicaciones de la derivada a los polinomios </t>
  </si>
  <si>
    <t>Aplicaciones de la derivada desarrolos de Taylor</t>
  </si>
  <si>
    <t>Aplicaciones de la derivadas: Estudio local de una funcion</t>
  </si>
  <si>
    <t>Aplicaciones de la derivadas:  Optimizacion</t>
  </si>
  <si>
    <t>Límite de una función en un punto y la propiedad epsilon-delta</t>
  </si>
  <si>
    <t>Propiedades  de las derivadas de funciones</t>
  </si>
  <si>
    <t>Geometria analitica de la 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</si>
</sst>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1" fillId="0" borderId="0" xfId="0" applyFont="1"/>
    <xf numFmtId="0" fontId="0" fillId="9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CFA7-090C-4ECF-9D7F-B7AD29BA7690}">
  <dimension ref="A4:K73"/>
  <sheetViews>
    <sheetView topLeftCell="G1" workbookViewId="0">
      <selection activeCell="I10" sqref="I10"/>
    </sheetView>
  </sheetViews>
  <sheetFormatPr baseColWidth="10" defaultRowHeight="15" x14ac:dyDescent="0.2"/>
  <cols>
    <col min="2" max="2" width="28.83203125" customWidth="1"/>
    <col min="3" max="3" width="5.6640625" style="2" customWidth="1"/>
    <col min="4" max="4" width="4.6640625" customWidth="1"/>
    <col min="5" max="5" width="5.83203125" customWidth="1"/>
    <col min="9" max="9" width="24.1640625" customWidth="1"/>
  </cols>
  <sheetData>
    <row r="4" spans="1:11" ht="32" x14ac:dyDescent="0.2">
      <c r="A4">
        <v>1</v>
      </c>
      <c r="B4" s="1" t="s">
        <v>35</v>
      </c>
      <c r="C4" s="2">
        <v>10</v>
      </c>
      <c r="I4" s="4" t="s">
        <v>28</v>
      </c>
      <c r="J4">
        <v>16.2</v>
      </c>
    </row>
    <row r="5" spans="1:11" ht="32" x14ac:dyDescent="0.2">
      <c r="A5">
        <v>2</v>
      </c>
      <c r="B5" s="1" t="s">
        <v>36</v>
      </c>
      <c r="C5" s="2">
        <v>7</v>
      </c>
      <c r="I5" s="4" t="s">
        <v>29</v>
      </c>
      <c r="J5">
        <v>8</v>
      </c>
    </row>
    <row r="6" spans="1:11" ht="32" x14ac:dyDescent="0.2">
      <c r="A6">
        <v>3</v>
      </c>
      <c r="B6" s="1" t="s">
        <v>0</v>
      </c>
      <c r="C6" s="2">
        <v>15</v>
      </c>
      <c r="I6" s="1" t="s">
        <v>30</v>
      </c>
      <c r="J6">
        <v>6.2</v>
      </c>
    </row>
    <row r="7" spans="1:11" ht="32" x14ac:dyDescent="0.2">
      <c r="A7">
        <v>4</v>
      </c>
      <c r="B7" s="1" t="s">
        <v>1</v>
      </c>
      <c r="C7" s="2">
        <v>5</v>
      </c>
      <c r="I7" s="1" t="s">
        <v>31</v>
      </c>
      <c r="J7">
        <v>4.58</v>
      </c>
    </row>
    <row r="8" spans="1:11" ht="32" x14ac:dyDescent="0.2">
      <c r="A8">
        <v>5</v>
      </c>
      <c r="B8" s="6" t="s">
        <v>2</v>
      </c>
      <c r="C8" s="7">
        <v>20</v>
      </c>
      <c r="D8">
        <v>57</v>
      </c>
      <c r="E8">
        <f>D8*1.5</f>
        <v>85.5</v>
      </c>
      <c r="I8" s="1" t="s">
        <v>32</v>
      </c>
      <c r="J8">
        <v>7.4</v>
      </c>
    </row>
    <row r="9" spans="1:11" ht="32" x14ac:dyDescent="0.2">
      <c r="A9">
        <v>6</v>
      </c>
      <c r="B9" s="8" t="s">
        <v>3</v>
      </c>
      <c r="C9" s="9">
        <v>16</v>
      </c>
      <c r="I9" s="1" t="s">
        <v>33</v>
      </c>
      <c r="J9">
        <v>11.27</v>
      </c>
    </row>
    <row r="10" spans="1:11" ht="32" x14ac:dyDescent="0.2">
      <c r="A10">
        <v>7</v>
      </c>
      <c r="B10" s="1" t="s">
        <v>4</v>
      </c>
      <c r="C10" s="2">
        <v>6</v>
      </c>
      <c r="I10" s="1" t="s">
        <v>34</v>
      </c>
      <c r="J10">
        <v>7</v>
      </c>
    </row>
    <row r="11" spans="1:11" x14ac:dyDescent="0.2">
      <c r="B11" s="1"/>
      <c r="C11" s="2">
        <f>SUM(C4:C8,C10)</f>
        <v>63</v>
      </c>
      <c r="D11">
        <f>C11*1.55</f>
        <v>97.65</v>
      </c>
      <c r="I11" s="1"/>
    </row>
    <row r="12" spans="1:11" ht="16" x14ac:dyDescent="0.2">
      <c r="A12">
        <v>8</v>
      </c>
      <c r="B12" s="1" t="s">
        <v>5</v>
      </c>
      <c r="C12" s="2">
        <v>5</v>
      </c>
      <c r="I12" s="4"/>
      <c r="J12" s="5">
        <f>SUM(J4:J10)</f>
        <v>60.649999999999991</v>
      </c>
      <c r="K12">
        <f>J12*1.5</f>
        <v>90.974999999999994</v>
      </c>
    </row>
    <row r="13" spans="1:11" ht="16" x14ac:dyDescent="0.2">
      <c r="A13">
        <v>9</v>
      </c>
      <c r="B13" s="1" t="s">
        <v>6</v>
      </c>
      <c r="C13" s="2">
        <v>4.2</v>
      </c>
    </row>
    <row r="14" spans="1:11" ht="16" x14ac:dyDescent="0.2">
      <c r="A14">
        <v>10</v>
      </c>
      <c r="B14" s="6" t="s">
        <v>7</v>
      </c>
      <c r="C14" s="7">
        <v>18.28</v>
      </c>
      <c r="D14">
        <v>49.5</v>
      </c>
      <c r="E14">
        <f>D14*1.5</f>
        <v>74.25</v>
      </c>
    </row>
    <row r="15" spans="1:11" ht="16" x14ac:dyDescent="0.2">
      <c r="A15">
        <v>11</v>
      </c>
      <c r="B15" s="6" t="s">
        <v>8</v>
      </c>
      <c r="C15" s="7">
        <v>17</v>
      </c>
    </row>
    <row r="16" spans="1:11" ht="16" x14ac:dyDescent="0.2">
      <c r="A16">
        <v>12</v>
      </c>
      <c r="B16" s="6" t="s">
        <v>9</v>
      </c>
      <c r="C16" s="7">
        <v>16</v>
      </c>
      <c r="G16">
        <v>4.2</v>
      </c>
      <c r="H16">
        <v>16</v>
      </c>
    </row>
    <row r="17" spans="1:9" ht="32" x14ac:dyDescent="0.2">
      <c r="A17">
        <v>1</v>
      </c>
      <c r="B17" s="6" t="s">
        <v>10</v>
      </c>
      <c r="C17" s="7">
        <v>4</v>
      </c>
      <c r="G17">
        <v>6</v>
      </c>
      <c r="H17">
        <v>8</v>
      </c>
    </row>
    <row r="18" spans="1:9" ht="16" x14ac:dyDescent="0.2">
      <c r="A18">
        <v>2</v>
      </c>
      <c r="B18" s="6" t="s">
        <v>11</v>
      </c>
      <c r="C18" s="7">
        <v>5</v>
      </c>
      <c r="G18">
        <v>12</v>
      </c>
      <c r="H18">
        <v>5</v>
      </c>
    </row>
    <row r="19" spans="1:9" ht="32" x14ac:dyDescent="0.2">
      <c r="A19">
        <v>3</v>
      </c>
      <c r="B19" s="6" t="s">
        <v>12</v>
      </c>
      <c r="C19" s="7">
        <v>10</v>
      </c>
      <c r="D19">
        <v>52</v>
      </c>
      <c r="E19">
        <f>D19*1.5</f>
        <v>78</v>
      </c>
      <c r="G19">
        <v>15</v>
      </c>
      <c r="H19">
        <v>15</v>
      </c>
    </row>
    <row r="20" spans="1:9" ht="16" x14ac:dyDescent="0.2">
      <c r="A20">
        <v>4</v>
      </c>
      <c r="B20" s="6" t="s">
        <v>13</v>
      </c>
      <c r="C20" s="7">
        <v>3.13</v>
      </c>
      <c r="G20">
        <f>SUM(G16:G19)</f>
        <v>37.200000000000003</v>
      </c>
      <c r="H20">
        <v>15</v>
      </c>
      <c r="I20">
        <v>3.13</v>
      </c>
    </row>
    <row r="21" spans="1:9" ht="16" x14ac:dyDescent="0.2">
      <c r="A21">
        <v>5</v>
      </c>
      <c r="B21" s="6" t="s">
        <v>14</v>
      </c>
      <c r="C21" s="7">
        <v>7.07</v>
      </c>
      <c r="H21">
        <f>SUM(H16:H20)</f>
        <v>59</v>
      </c>
      <c r="I21">
        <v>7.07</v>
      </c>
    </row>
    <row r="22" spans="1:9" ht="16" x14ac:dyDescent="0.2">
      <c r="A22">
        <v>6</v>
      </c>
      <c r="B22" s="6" t="s">
        <v>15</v>
      </c>
      <c r="C22" s="7">
        <v>7.35</v>
      </c>
      <c r="I22" s="18">
        <f>SUM(I20:I21)</f>
        <v>10.199999999999999</v>
      </c>
    </row>
    <row r="23" spans="1:9" ht="16" x14ac:dyDescent="0.2">
      <c r="A23">
        <v>7</v>
      </c>
      <c r="B23" s="6" t="s">
        <v>16</v>
      </c>
      <c r="C23" s="7">
        <v>10</v>
      </c>
    </row>
    <row r="24" spans="1:9" ht="16" x14ac:dyDescent="0.2">
      <c r="A24">
        <v>8</v>
      </c>
      <c r="B24" s="6" t="s">
        <v>17</v>
      </c>
      <c r="C24" s="7">
        <v>15</v>
      </c>
    </row>
    <row r="25" spans="1:9" ht="32" x14ac:dyDescent="0.2">
      <c r="A25">
        <v>9</v>
      </c>
      <c r="B25" s="6" t="s">
        <v>18</v>
      </c>
      <c r="C25" s="7">
        <v>8</v>
      </c>
      <c r="D25">
        <v>50.6</v>
      </c>
      <c r="E25">
        <f>D25*1.5</f>
        <v>75.900000000000006</v>
      </c>
      <c r="G25">
        <v>6</v>
      </c>
      <c r="H25">
        <v>18.3</v>
      </c>
    </row>
    <row r="26" spans="1:9" ht="16" x14ac:dyDescent="0.2">
      <c r="A26">
        <v>10</v>
      </c>
      <c r="B26" s="6" t="s">
        <v>19</v>
      </c>
      <c r="C26" s="7">
        <v>6</v>
      </c>
      <c r="G26">
        <v>7.35</v>
      </c>
      <c r="H26">
        <v>17</v>
      </c>
    </row>
    <row r="27" spans="1:9" ht="16" x14ac:dyDescent="0.2">
      <c r="A27">
        <v>11</v>
      </c>
      <c r="B27" s="6" t="s">
        <v>20</v>
      </c>
      <c r="C27" s="7">
        <v>6</v>
      </c>
      <c r="G27">
        <v>10</v>
      </c>
      <c r="H27">
        <v>5</v>
      </c>
    </row>
    <row r="28" spans="1:9" ht="16" x14ac:dyDescent="0.2">
      <c r="A28">
        <v>12</v>
      </c>
      <c r="B28" s="6" t="s">
        <v>21</v>
      </c>
      <c r="C28" s="7">
        <v>6</v>
      </c>
      <c r="G28">
        <v>6</v>
      </c>
      <c r="H28">
        <v>10</v>
      </c>
    </row>
    <row r="29" spans="1:9" ht="16" x14ac:dyDescent="0.2">
      <c r="A29">
        <v>13</v>
      </c>
      <c r="B29" s="6" t="s">
        <v>22</v>
      </c>
      <c r="C29" s="7">
        <v>6</v>
      </c>
      <c r="G29">
        <v>6</v>
      </c>
      <c r="H29">
        <v>16</v>
      </c>
    </row>
    <row r="30" spans="1:9" ht="16" x14ac:dyDescent="0.2">
      <c r="A30">
        <v>14</v>
      </c>
      <c r="B30" s="6" t="s">
        <v>23</v>
      </c>
      <c r="C30" s="7">
        <v>10</v>
      </c>
      <c r="D30">
        <v>34</v>
      </c>
      <c r="E30">
        <f>D30*1.5</f>
        <v>51</v>
      </c>
      <c r="G30">
        <v>6</v>
      </c>
      <c r="H30" s="18">
        <f>SUM(H25:H29)</f>
        <v>66.3</v>
      </c>
    </row>
    <row r="31" spans="1:9" ht="16" x14ac:dyDescent="0.2">
      <c r="A31">
        <v>15</v>
      </c>
      <c r="B31" s="6" t="s">
        <v>24</v>
      </c>
      <c r="C31" s="7">
        <v>15</v>
      </c>
      <c r="G31">
        <v>6</v>
      </c>
    </row>
    <row r="32" spans="1:9" ht="16" x14ac:dyDescent="0.2">
      <c r="A32">
        <v>16</v>
      </c>
      <c r="B32" s="6" t="s">
        <v>25</v>
      </c>
      <c r="C32" s="7">
        <v>15</v>
      </c>
      <c r="G32">
        <f>SUM(G25:G31)</f>
        <v>47.35</v>
      </c>
    </row>
    <row r="33" spans="1:5" ht="16" x14ac:dyDescent="0.2">
      <c r="A33">
        <v>17</v>
      </c>
      <c r="B33" s="6" t="s">
        <v>26</v>
      </c>
      <c r="C33" s="7">
        <v>6</v>
      </c>
    </row>
    <row r="34" spans="1:5" ht="32" x14ac:dyDescent="0.2">
      <c r="A34">
        <v>18</v>
      </c>
      <c r="B34" s="6" t="s">
        <v>27</v>
      </c>
      <c r="C34" s="7">
        <v>12</v>
      </c>
      <c r="D34">
        <v>48</v>
      </c>
      <c r="E34">
        <f>D34*1.5</f>
        <v>72</v>
      </c>
    </row>
    <row r="38" spans="1:5" x14ac:dyDescent="0.2">
      <c r="C38" s="2">
        <v>10</v>
      </c>
    </row>
    <row r="39" spans="1:5" x14ac:dyDescent="0.2">
      <c r="C39" s="2">
        <v>7</v>
      </c>
    </row>
    <row r="40" spans="1:5" x14ac:dyDescent="0.2">
      <c r="C40" s="2">
        <v>15</v>
      </c>
    </row>
    <row r="41" spans="1:5" x14ac:dyDescent="0.2">
      <c r="C41" s="2">
        <v>5</v>
      </c>
    </row>
    <row r="42" spans="1:5" x14ac:dyDescent="0.2">
      <c r="C42" s="2">
        <v>20</v>
      </c>
    </row>
    <row r="43" spans="1:5" x14ac:dyDescent="0.2">
      <c r="C43" s="3">
        <f>SUM(C38:C42)</f>
        <v>57</v>
      </c>
      <c r="D43">
        <f>C43*1.5</f>
        <v>85.5</v>
      </c>
    </row>
    <row r="44" spans="1:5" x14ac:dyDescent="0.2">
      <c r="C44" s="2">
        <v>16</v>
      </c>
    </row>
    <row r="45" spans="1:5" x14ac:dyDescent="0.2">
      <c r="C45" s="2">
        <v>6</v>
      </c>
    </row>
    <row r="46" spans="1:5" x14ac:dyDescent="0.2">
      <c r="C46" s="2">
        <v>5</v>
      </c>
    </row>
    <row r="47" spans="1:5" x14ac:dyDescent="0.2">
      <c r="C47" s="2">
        <v>4.2</v>
      </c>
    </row>
    <row r="48" spans="1:5" x14ac:dyDescent="0.2">
      <c r="C48" s="2">
        <v>18.28</v>
      </c>
    </row>
    <row r="49" spans="3:3" x14ac:dyDescent="0.2">
      <c r="C49" s="3">
        <f>SUM(C44:C48)</f>
        <v>49.480000000000004</v>
      </c>
    </row>
    <row r="50" spans="3:3" x14ac:dyDescent="0.2">
      <c r="C50" s="2">
        <v>17</v>
      </c>
    </row>
    <row r="51" spans="3:3" x14ac:dyDescent="0.2">
      <c r="C51" s="2">
        <v>16</v>
      </c>
    </row>
    <row r="52" spans="3:3" x14ac:dyDescent="0.2">
      <c r="C52" s="2">
        <v>4</v>
      </c>
    </row>
    <row r="53" spans="3:3" x14ac:dyDescent="0.2">
      <c r="C53" s="2">
        <v>5</v>
      </c>
    </row>
    <row r="54" spans="3:3" x14ac:dyDescent="0.2">
      <c r="C54" s="2">
        <v>10</v>
      </c>
    </row>
    <row r="55" spans="3:3" x14ac:dyDescent="0.2">
      <c r="C55" s="3">
        <f>SUM(C50:C54)</f>
        <v>52</v>
      </c>
    </row>
    <row r="56" spans="3:3" x14ac:dyDescent="0.2">
      <c r="C56" s="2">
        <v>3.13</v>
      </c>
    </row>
    <row r="57" spans="3:3" x14ac:dyDescent="0.2">
      <c r="C57" s="2">
        <v>7.07</v>
      </c>
    </row>
    <row r="58" spans="3:3" x14ac:dyDescent="0.2">
      <c r="C58" s="2">
        <v>7.35</v>
      </c>
    </row>
    <row r="59" spans="3:3" x14ac:dyDescent="0.2">
      <c r="C59" s="2">
        <v>10</v>
      </c>
    </row>
    <row r="60" spans="3:3" x14ac:dyDescent="0.2">
      <c r="C60" s="2">
        <v>15</v>
      </c>
    </row>
    <row r="61" spans="3:3" x14ac:dyDescent="0.2">
      <c r="C61" s="2">
        <v>8</v>
      </c>
    </row>
    <row r="62" spans="3:3" x14ac:dyDescent="0.2">
      <c r="C62" s="3">
        <f>SUM(C56:C61)</f>
        <v>50.55</v>
      </c>
    </row>
    <row r="63" spans="3:3" x14ac:dyDescent="0.2">
      <c r="C63" s="2">
        <v>6</v>
      </c>
    </row>
    <row r="64" spans="3:3" x14ac:dyDescent="0.2">
      <c r="C64" s="2">
        <v>6</v>
      </c>
    </row>
    <row r="65" spans="3:3" x14ac:dyDescent="0.2">
      <c r="C65" s="2">
        <v>6</v>
      </c>
    </row>
    <row r="66" spans="3:3" x14ac:dyDescent="0.2">
      <c r="C66" s="2">
        <v>6</v>
      </c>
    </row>
    <row r="67" spans="3:3" x14ac:dyDescent="0.2">
      <c r="C67" s="2">
        <v>10</v>
      </c>
    </row>
    <row r="68" spans="3:3" x14ac:dyDescent="0.2">
      <c r="C68" s="3">
        <f>SUM(C63:C67)</f>
        <v>34</v>
      </c>
    </row>
    <row r="69" spans="3:3" x14ac:dyDescent="0.2">
      <c r="C69" s="2">
        <v>15</v>
      </c>
    </row>
    <row r="70" spans="3:3" x14ac:dyDescent="0.2">
      <c r="C70" s="2">
        <v>15</v>
      </c>
    </row>
    <row r="71" spans="3:3" x14ac:dyDescent="0.2">
      <c r="C71" s="2">
        <v>6</v>
      </c>
    </row>
    <row r="72" spans="3:3" x14ac:dyDescent="0.2">
      <c r="C72" s="2">
        <v>12</v>
      </c>
    </row>
    <row r="73" spans="3:3" x14ac:dyDescent="0.2">
      <c r="C73" s="3">
        <f>SUM(C69:C72)</f>
        <v>48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37E5-F07D-4FCB-B8D8-1E33A4573287}">
  <dimension ref="B2:O20"/>
  <sheetViews>
    <sheetView topLeftCell="F1" zoomScale="90" zoomScaleNormal="90" workbookViewId="0">
      <selection activeCell="J4" sqref="J4"/>
    </sheetView>
  </sheetViews>
  <sheetFormatPr baseColWidth="10" defaultRowHeight="15" x14ac:dyDescent="0.2"/>
  <cols>
    <col min="2" max="2" width="21.83203125" customWidth="1"/>
    <col min="6" max="6" width="22.5" customWidth="1"/>
    <col min="10" max="10" width="20.83203125" customWidth="1"/>
  </cols>
  <sheetData>
    <row r="2" spans="2:15" ht="32" x14ac:dyDescent="0.2">
      <c r="B2" s="11" t="s">
        <v>38</v>
      </c>
      <c r="C2" s="2">
        <v>98</v>
      </c>
      <c r="F2" s="14" t="s">
        <v>47</v>
      </c>
      <c r="G2">
        <v>47.35</v>
      </c>
      <c r="J2" s="19" t="s">
        <v>56</v>
      </c>
      <c r="K2">
        <v>10.199999999999999</v>
      </c>
      <c r="N2">
        <v>98</v>
      </c>
    </row>
    <row r="3" spans="2:15" ht="32" x14ac:dyDescent="0.2">
      <c r="B3" s="10" t="s">
        <v>37</v>
      </c>
      <c r="F3" t="s">
        <v>48</v>
      </c>
      <c r="J3" t="s">
        <v>57</v>
      </c>
      <c r="N3">
        <v>59</v>
      </c>
    </row>
    <row r="4" spans="2:15" ht="32" x14ac:dyDescent="0.2">
      <c r="B4" s="10" t="s">
        <v>36</v>
      </c>
      <c r="F4" t="s">
        <v>49</v>
      </c>
      <c r="J4" t="s">
        <v>58</v>
      </c>
      <c r="N4">
        <v>37.200000000000003</v>
      </c>
    </row>
    <row r="5" spans="2:15" ht="32" x14ac:dyDescent="0.2">
      <c r="B5" s="10" t="s">
        <v>0</v>
      </c>
      <c r="F5" s="10" t="s">
        <v>16</v>
      </c>
      <c r="N5">
        <v>66.3</v>
      </c>
    </row>
    <row r="6" spans="2:15" ht="32" x14ac:dyDescent="0.2">
      <c r="B6" s="10" t="s">
        <v>1</v>
      </c>
      <c r="F6" t="s">
        <v>20</v>
      </c>
      <c r="N6">
        <v>47.35</v>
      </c>
    </row>
    <row r="7" spans="2:15" ht="32" x14ac:dyDescent="0.2">
      <c r="B7" s="10" t="s">
        <v>2</v>
      </c>
      <c r="F7" t="s">
        <v>21</v>
      </c>
      <c r="N7">
        <v>10.199999999999999</v>
      </c>
    </row>
    <row r="8" spans="2:15" x14ac:dyDescent="0.2">
      <c r="F8" t="s">
        <v>50</v>
      </c>
      <c r="N8">
        <f>SUM(N2:N7)</f>
        <v>318.05</v>
      </c>
      <c r="O8">
        <f>N8/60</f>
        <v>5.3008333333333333</v>
      </c>
    </row>
    <row r="9" spans="2:15" ht="53.5" customHeight="1" x14ac:dyDescent="0.2">
      <c r="B9" s="12" t="s">
        <v>39</v>
      </c>
      <c r="C9">
        <v>59</v>
      </c>
      <c r="F9" t="s">
        <v>23</v>
      </c>
    </row>
    <row r="10" spans="2:15" x14ac:dyDescent="0.2">
      <c r="B10" t="s">
        <v>3</v>
      </c>
    </row>
    <row r="11" spans="2:15" ht="32" x14ac:dyDescent="0.2">
      <c r="B11" t="s">
        <v>40</v>
      </c>
      <c r="F11" s="15" t="s">
        <v>51</v>
      </c>
      <c r="G11">
        <v>66.3</v>
      </c>
    </row>
    <row r="12" spans="2:15" x14ac:dyDescent="0.2">
      <c r="B12" t="s">
        <v>5</v>
      </c>
      <c r="F12" s="16" t="s">
        <v>7</v>
      </c>
    </row>
    <row r="13" spans="2:15" ht="32" x14ac:dyDescent="0.2">
      <c r="B13" t="s">
        <v>41</v>
      </c>
      <c r="F13" s="17" t="s">
        <v>52</v>
      </c>
    </row>
    <row r="14" spans="2:15" ht="32" x14ac:dyDescent="0.2">
      <c r="B14" t="s">
        <v>42</v>
      </c>
      <c r="F14" s="17" t="s">
        <v>53</v>
      </c>
    </row>
    <row r="15" spans="2:15" x14ac:dyDescent="0.2">
      <c r="F15" s="16" t="s">
        <v>54</v>
      </c>
    </row>
    <row r="16" spans="2:15" ht="48" x14ac:dyDescent="0.2">
      <c r="B16" s="13" t="s">
        <v>43</v>
      </c>
      <c r="C16">
        <v>37.200000000000003</v>
      </c>
      <c r="F16" s="17" t="s">
        <v>55</v>
      </c>
    </row>
    <row r="17" spans="2:6" x14ac:dyDescent="0.2">
      <c r="B17" t="s">
        <v>44</v>
      </c>
      <c r="F17" s="16" t="s">
        <v>9</v>
      </c>
    </row>
    <row r="18" spans="2:6" x14ac:dyDescent="0.2">
      <c r="B18" t="s">
        <v>45</v>
      </c>
    </row>
    <row r="19" spans="2:6" ht="32" x14ac:dyDescent="0.2">
      <c r="B19" s="10" t="s">
        <v>27</v>
      </c>
    </row>
    <row r="20" spans="2:6" x14ac:dyDescent="0.2">
      <c r="B20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883E-8A84-48EB-A989-5E3EF905C736}">
  <dimension ref="A2:C21"/>
  <sheetViews>
    <sheetView tabSelected="1" workbookViewId="0">
      <selection activeCell="F9" sqref="F9"/>
    </sheetView>
  </sheetViews>
  <sheetFormatPr baseColWidth="10" defaultRowHeight="15" x14ac:dyDescent="0.2"/>
  <cols>
    <col min="3" max="3" width="50.6640625" customWidth="1"/>
  </cols>
  <sheetData>
    <row r="2" spans="1:3" x14ac:dyDescent="0.2">
      <c r="B2" s="18" t="s">
        <v>59</v>
      </c>
      <c r="C2" s="18" t="s">
        <v>87</v>
      </c>
    </row>
    <row r="3" spans="1:3" x14ac:dyDescent="0.2">
      <c r="B3" t="s">
        <v>67</v>
      </c>
      <c r="C3" t="s">
        <v>84</v>
      </c>
    </row>
    <row r="4" spans="1:3" ht="16" x14ac:dyDescent="0.2">
      <c r="B4" t="s">
        <v>65</v>
      </c>
      <c r="C4" s="10" t="s">
        <v>85</v>
      </c>
    </row>
    <row r="5" spans="1:3" ht="16" x14ac:dyDescent="0.2">
      <c r="B5" t="s">
        <v>66</v>
      </c>
      <c r="C5" s="10" t="s">
        <v>99</v>
      </c>
    </row>
    <row r="6" spans="1:3" x14ac:dyDescent="0.2">
      <c r="B6" s="18" t="s">
        <v>60</v>
      </c>
      <c r="C6" s="18" t="s">
        <v>86</v>
      </c>
    </row>
    <row r="7" spans="1:3" x14ac:dyDescent="0.2">
      <c r="B7" t="s">
        <v>68</v>
      </c>
      <c r="C7" t="s">
        <v>97</v>
      </c>
    </row>
    <row r="8" spans="1:3" x14ac:dyDescent="0.2">
      <c r="B8" t="s">
        <v>69</v>
      </c>
      <c r="C8" t="s">
        <v>91</v>
      </c>
    </row>
    <row r="9" spans="1:3" x14ac:dyDescent="0.2">
      <c r="B9" t="s">
        <v>70</v>
      </c>
      <c r="C9" t="s">
        <v>88</v>
      </c>
    </row>
    <row r="10" spans="1:3" x14ac:dyDescent="0.2">
      <c r="B10" t="s">
        <v>71</v>
      </c>
      <c r="C10" t="s">
        <v>89</v>
      </c>
    </row>
    <row r="11" spans="1:3" x14ac:dyDescent="0.2">
      <c r="B11" t="s">
        <v>72</v>
      </c>
      <c r="C11" t="s">
        <v>90</v>
      </c>
    </row>
    <row r="12" spans="1:3" x14ac:dyDescent="0.2">
      <c r="B12" s="18" t="s">
        <v>61</v>
      </c>
      <c r="C12" s="18" t="s">
        <v>62</v>
      </c>
    </row>
    <row r="13" spans="1:3" x14ac:dyDescent="0.2">
      <c r="A13" s="18" t="s">
        <v>82</v>
      </c>
      <c r="B13" t="s">
        <v>73</v>
      </c>
      <c r="C13" t="s">
        <v>92</v>
      </c>
    </row>
    <row r="14" spans="1:3" x14ac:dyDescent="0.2">
      <c r="B14" t="s">
        <v>74</v>
      </c>
      <c r="C14" t="s">
        <v>98</v>
      </c>
    </row>
    <row r="15" spans="1:3" ht="16" x14ac:dyDescent="0.2">
      <c r="B15" t="s">
        <v>75</v>
      </c>
      <c r="C15" s="10" t="s">
        <v>76</v>
      </c>
    </row>
    <row r="16" spans="1:3" ht="16" x14ac:dyDescent="0.2">
      <c r="B16" t="s">
        <v>77</v>
      </c>
      <c r="C16" s="10" t="s">
        <v>83</v>
      </c>
    </row>
    <row r="17" spans="1:3" x14ac:dyDescent="0.2">
      <c r="B17" s="18" t="s">
        <v>63</v>
      </c>
      <c r="C17" s="18" t="s">
        <v>64</v>
      </c>
    </row>
    <row r="18" spans="1:3" x14ac:dyDescent="0.2">
      <c r="B18" t="s">
        <v>78</v>
      </c>
      <c r="C18" t="s">
        <v>93</v>
      </c>
    </row>
    <row r="19" spans="1:3" x14ac:dyDescent="0.2">
      <c r="B19" t="s">
        <v>79</v>
      </c>
      <c r="C19" t="s">
        <v>94</v>
      </c>
    </row>
    <row r="20" spans="1:3" x14ac:dyDescent="0.2">
      <c r="B20" t="s">
        <v>80</v>
      </c>
      <c r="C20" t="s">
        <v>95</v>
      </c>
    </row>
    <row r="21" spans="1:3" x14ac:dyDescent="0.2">
      <c r="A21" s="18" t="s">
        <v>82</v>
      </c>
      <c r="B21" s="18" t="s">
        <v>81</v>
      </c>
      <c r="C21" t="s">
        <v>96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Microsoft Office User</cp:lastModifiedBy>
  <dcterms:created xsi:type="dcterms:W3CDTF">2025-07-08T21:27:23Z</dcterms:created>
  <dcterms:modified xsi:type="dcterms:W3CDTF">2025-07-14T22:55:55Z</dcterms:modified>
</cp:coreProperties>
</file>